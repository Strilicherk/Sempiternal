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theus\OneDrive\Área de Trabalho\Sempiternal\Documentação\"/>
    </mc:Choice>
  </mc:AlternateContent>
  <xr:revisionPtr revIDLastSave="0" documentId="13_ncr:1_{53B82A1C-5C2F-44A3-8807-9EF7030F32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Planilha1" sheetId="2" r:id="rId2"/>
  </sheets>
  <definedNames>
    <definedName name="_xlnm._FilterDatabase" localSheetId="0" hidden="1">Sheet1!$B$2:$H$2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C24" i="1"/>
  <c r="C23" i="1"/>
  <c r="E22" i="1"/>
  <c r="D23" i="1" l="1"/>
  <c r="F23" i="1" s="1"/>
  <c r="D24" i="1" s="1"/>
  <c r="B5" i="1"/>
  <c r="B6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4" i="1"/>
</calcChain>
</file>

<file path=xl/sharedStrings.xml><?xml version="1.0" encoding="utf-8"?>
<sst xmlns="http://schemas.openxmlformats.org/spreadsheetml/2006/main" count="65" uniqueCount="38">
  <si>
    <t>Item</t>
  </si>
  <si>
    <t>Descrição</t>
  </si>
  <si>
    <t>Peso</t>
  </si>
  <si>
    <t>Tamanho</t>
  </si>
  <si>
    <t>Classificação</t>
  </si>
  <si>
    <t>Prioridade</t>
  </si>
  <si>
    <t>Definir tema do projeto.</t>
  </si>
  <si>
    <t>Essencial</t>
  </si>
  <si>
    <t>GG</t>
  </si>
  <si>
    <t>G</t>
  </si>
  <si>
    <t>Organizar o Trello.</t>
  </si>
  <si>
    <t>Importante</t>
  </si>
  <si>
    <t>M</t>
  </si>
  <si>
    <t>Definir pontos fibonacci.</t>
  </si>
  <si>
    <t>PP</t>
  </si>
  <si>
    <t>Desejável</t>
  </si>
  <si>
    <t>Fazer a documentação de seguindo o PMBOK.</t>
  </si>
  <si>
    <t>Confeccionar o gráfico de Burndown.</t>
  </si>
  <si>
    <t>Elaborar diagrama de solução.</t>
  </si>
  <si>
    <t>Elaborar diagrama de negócio.</t>
  </si>
  <si>
    <t>Definir funcionalidades e telas do projeto.</t>
  </si>
  <si>
    <t>Definir paleta de cores e tipografia.</t>
  </si>
  <si>
    <t>Fazer o design das telas no figma.</t>
  </si>
  <si>
    <t>Sprint</t>
  </si>
  <si>
    <t>Fazer o DER.</t>
  </si>
  <si>
    <t>Desenvolver os scripts de criação do banco de dados</t>
  </si>
  <si>
    <t>Adptar a API Node.js para atender ao projeto.</t>
  </si>
  <si>
    <t>Desenvolver o HTML e o CSS das páginas.</t>
  </si>
  <si>
    <t>Integrar a API ao código HTML, CSS e Javascript.</t>
  </si>
  <si>
    <t>Fazer o deploy do banco de dados para a VM.</t>
  </si>
  <si>
    <t>Fazer o deploy da API para a VM.</t>
  </si>
  <si>
    <t>Pontos Fibonacci</t>
  </si>
  <si>
    <t>Planejado</t>
  </si>
  <si>
    <t>Entregue</t>
  </si>
  <si>
    <t>Pendente</t>
  </si>
  <si>
    <t>Total</t>
  </si>
  <si>
    <t>Sprint 1</t>
  </si>
  <si>
    <t>Sprint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</si>
</sst>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5D5D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0" fillId="4" borderId="1" xfId="0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D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de 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Planejado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Sheet1!$B$23:$B$24</c:f>
              <c:strCache>
                <c:ptCount val="2"/>
                <c:pt idx="0">
                  <c:v>Sprint 1</c:v>
                </c:pt>
                <c:pt idx="1">
                  <c:v>Sprint 2</c:v>
                </c:pt>
              </c:strCache>
            </c:strRef>
          </c:cat>
          <c:val>
            <c:numRef>
              <c:f>Sheet1!$D$23:$D$24</c:f>
              <c:numCache>
                <c:formatCode>General</c:formatCode>
                <c:ptCount val="2"/>
                <c:pt idx="0">
                  <c:v>156</c:v>
                </c:pt>
                <c:pt idx="1">
                  <c:v>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F1-4E35-85F3-76E0A25BDA06}"/>
            </c:ext>
          </c:extLst>
        </c:ser>
        <c:ser>
          <c:idx val="1"/>
          <c:order val="1"/>
          <c:tx>
            <c:v>Entregue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Sheet1!$E$23:$E$24</c:f>
              <c:numCache>
                <c:formatCode>General</c:formatCode>
                <c:ptCount val="2"/>
                <c:pt idx="0">
                  <c:v>19</c:v>
                </c:pt>
                <c:pt idx="1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F1-4E35-85F3-76E0A25BDA0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1404159"/>
        <c:axId val="1011402239"/>
      </c:lineChart>
      <c:catAx>
        <c:axId val="101140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1402239"/>
        <c:crosses val="autoZero"/>
        <c:auto val="1"/>
        <c:lblAlgn val="ctr"/>
        <c:lblOffset val="100"/>
        <c:noMultiLvlLbl val="0"/>
      </c:catAx>
      <c:valAx>
        <c:axId val="101140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140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406645</xdr:colOff>
      <xdr:row>25</xdr:row>
      <xdr:rowOff>123093</xdr:rowOff>
    </xdr:from>
    <xdr:to>
      <xdr:col>4</xdr:col>
      <xdr:colOff>655761</xdr:colOff>
      <xdr:row>40</xdr:row>
      <xdr:rowOff>8793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86CBD6-5CEB-642F-979D-4A8501063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4"/>
  <sheetViews>
    <sheetView tabSelected="1" zoomScale="130" zoomScaleNormal="130" workbookViewId="0">
      <selection activeCell="H30" sqref="H30"/>
    </sheetView>
  </sheetViews>
  <sheetFormatPr defaultRowHeight="15" x14ac:dyDescent="0.25"/>
  <cols>
    <col min="1" max="1" width="9.140625" style="1"/>
    <col min="2" max="2" width="9.7109375" style="1" bestFit="1" customWidth="1"/>
    <col min="3" max="3" width="48.140625" style="1" bestFit="1" customWidth="1"/>
    <col min="4" max="4" width="16.7109375" style="1" bestFit="1" customWidth="1"/>
    <col min="5" max="5" width="13.7109375" style="1" bestFit="1" customWidth="1"/>
    <col min="6" max="6" width="9.85546875" style="1" bestFit="1" customWidth="1"/>
    <col min="7" max="7" width="14.85546875" style="1" bestFit="1" customWidth="1"/>
    <col min="8" max="8" width="10.85546875" style="1" bestFit="1" customWidth="1"/>
    <col min="9" max="16384" width="9.140625" style="1"/>
  </cols>
  <sheetData>
    <row r="2" spans="2:8" x14ac:dyDescent="0.25">
      <c r="B2" s="4" t="s">
        <v>0</v>
      </c>
      <c r="C2" s="4" t="s">
        <v>1</v>
      </c>
      <c r="D2" s="4" t="s">
        <v>4</v>
      </c>
      <c r="E2" s="4" t="s">
        <v>3</v>
      </c>
      <c r="F2" s="4" t="s">
        <v>2</v>
      </c>
      <c r="G2" s="4" t="s">
        <v>5</v>
      </c>
      <c r="H2" s="4" t="s">
        <v>23</v>
      </c>
    </row>
    <row r="3" spans="2:8" x14ac:dyDescent="0.25">
      <c r="B3" s="2">
        <v>1</v>
      </c>
      <c r="C3" s="3" t="s">
        <v>6</v>
      </c>
      <c r="D3" s="2" t="s">
        <v>7</v>
      </c>
      <c r="E3" s="2" t="s">
        <v>12</v>
      </c>
      <c r="F3" s="2">
        <v>8</v>
      </c>
      <c r="G3" s="2">
        <v>1</v>
      </c>
      <c r="H3" s="2">
        <v>1</v>
      </c>
    </row>
    <row r="4" spans="2:8" x14ac:dyDescent="0.25">
      <c r="B4" s="5">
        <f>B3+1</f>
        <v>2</v>
      </c>
      <c r="C4" s="6" t="s">
        <v>20</v>
      </c>
      <c r="D4" s="5" t="s">
        <v>7</v>
      </c>
      <c r="E4" s="5" t="s">
        <v>9</v>
      </c>
      <c r="F4" s="5">
        <v>13</v>
      </c>
      <c r="G4" s="5">
        <v>1</v>
      </c>
      <c r="H4" s="5">
        <v>1</v>
      </c>
    </row>
    <row r="5" spans="2:8" x14ac:dyDescent="0.25">
      <c r="B5" s="5">
        <f t="shared" ref="B5:B19" si="0">B4+1</f>
        <v>3</v>
      </c>
      <c r="C5" s="6" t="s">
        <v>10</v>
      </c>
      <c r="D5" s="5" t="s">
        <v>15</v>
      </c>
      <c r="E5" s="5" t="s">
        <v>14</v>
      </c>
      <c r="F5" s="5">
        <v>3</v>
      </c>
      <c r="G5" s="5">
        <v>3</v>
      </c>
      <c r="H5" s="5">
        <v>1</v>
      </c>
    </row>
    <row r="6" spans="2:8" x14ac:dyDescent="0.25">
      <c r="B6" s="2">
        <f t="shared" si="0"/>
        <v>4</v>
      </c>
      <c r="C6" s="3" t="s">
        <v>13</v>
      </c>
      <c r="D6" s="2" t="s">
        <v>15</v>
      </c>
      <c r="E6" s="2" t="s">
        <v>14</v>
      </c>
      <c r="F6" s="2">
        <v>3</v>
      </c>
      <c r="G6" s="2">
        <v>3</v>
      </c>
      <c r="H6" s="2">
        <v>1</v>
      </c>
    </row>
    <row r="7" spans="2:8" x14ac:dyDescent="0.25">
      <c r="B7" s="2">
        <f t="shared" si="0"/>
        <v>5</v>
      </c>
      <c r="C7" s="3" t="s">
        <v>17</v>
      </c>
      <c r="D7" s="2" t="s">
        <v>15</v>
      </c>
      <c r="E7" s="2" t="s">
        <v>12</v>
      </c>
      <c r="F7" s="2">
        <v>8</v>
      </c>
      <c r="G7" s="2">
        <v>3</v>
      </c>
      <c r="H7" s="2">
        <v>1</v>
      </c>
    </row>
    <row r="8" spans="2:8" x14ac:dyDescent="0.25">
      <c r="B8" s="5">
        <f t="shared" si="0"/>
        <v>6</v>
      </c>
      <c r="C8" s="6" t="s">
        <v>16</v>
      </c>
      <c r="D8" s="5" t="s">
        <v>11</v>
      </c>
      <c r="E8" s="5" t="s">
        <v>8</v>
      </c>
      <c r="F8" s="5">
        <v>21</v>
      </c>
      <c r="G8" s="5">
        <v>2</v>
      </c>
      <c r="H8" s="5">
        <v>1</v>
      </c>
    </row>
    <row r="9" spans="2:8" x14ac:dyDescent="0.25">
      <c r="B9" s="7">
        <f t="shared" si="0"/>
        <v>7</v>
      </c>
      <c r="C9" s="8" t="s">
        <v>19</v>
      </c>
      <c r="D9" s="7" t="s">
        <v>15</v>
      </c>
      <c r="E9" s="7" t="s">
        <v>12</v>
      </c>
      <c r="F9" s="7">
        <v>8</v>
      </c>
      <c r="G9" s="7">
        <v>3</v>
      </c>
      <c r="H9" s="7">
        <v>1</v>
      </c>
    </row>
    <row r="10" spans="2:8" x14ac:dyDescent="0.25">
      <c r="B10" s="7">
        <f t="shared" si="0"/>
        <v>8</v>
      </c>
      <c r="C10" s="8" t="s">
        <v>18</v>
      </c>
      <c r="D10" s="7" t="s">
        <v>15</v>
      </c>
      <c r="E10" s="7" t="s">
        <v>12</v>
      </c>
      <c r="F10" s="7">
        <v>8</v>
      </c>
      <c r="G10" s="7">
        <v>3</v>
      </c>
      <c r="H10" s="7">
        <v>1</v>
      </c>
    </row>
    <row r="11" spans="2:8" x14ac:dyDescent="0.25">
      <c r="B11" s="7">
        <f t="shared" si="0"/>
        <v>9</v>
      </c>
      <c r="C11" s="8" t="s">
        <v>21</v>
      </c>
      <c r="D11" s="7" t="s">
        <v>7</v>
      </c>
      <c r="E11" s="7" t="s">
        <v>9</v>
      </c>
      <c r="F11" s="7">
        <v>13</v>
      </c>
      <c r="G11" s="7">
        <v>1</v>
      </c>
      <c r="H11" s="7">
        <v>1</v>
      </c>
    </row>
    <row r="12" spans="2:8" x14ac:dyDescent="0.25">
      <c r="B12" s="7">
        <f t="shared" si="0"/>
        <v>10</v>
      </c>
      <c r="C12" s="8" t="s">
        <v>22</v>
      </c>
      <c r="D12" s="7" t="s">
        <v>7</v>
      </c>
      <c r="E12" s="7" t="s">
        <v>8</v>
      </c>
      <c r="F12" s="7">
        <v>21</v>
      </c>
      <c r="G12" s="7">
        <v>1</v>
      </c>
      <c r="H12" s="7">
        <v>1</v>
      </c>
    </row>
    <row r="13" spans="2:8" x14ac:dyDescent="0.25">
      <c r="B13" s="7">
        <f t="shared" si="0"/>
        <v>11</v>
      </c>
      <c r="C13" s="8" t="s">
        <v>24</v>
      </c>
      <c r="D13" s="7" t="s">
        <v>7</v>
      </c>
      <c r="E13" s="7" t="s">
        <v>8</v>
      </c>
      <c r="F13" s="7">
        <v>21</v>
      </c>
      <c r="G13" s="7">
        <v>1</v>
      </c>
      <c r="H13" s="7">
        <v>1</v>
      </c>
    </row>
    <row r="14" spans="2:8" x14ac:dyDescent="0.25">
      <c r="B14" s="7">
        <f t="shared" si="0"/>
        <v>12</v>
      </c>
      <c r="C14" s="8" t="s">
        <v>25</v>
      </c>
      <c r="D14" s="7" t="s">
        <v>7</v>
      </c>
      <c r="E14" s="7" t="s">
        <v>12</v>
      </c>
      <c r="F14" s="7">
        <v>8</v>
      </c>
      <c r="G14" s="7">
        <v>1</v>
      </c>
      <c r="H14" s="7">
        <v>1</v>
      </c>
    </row>
    <row r="15" spans="2:8" x14ac:dyDescent="0.25">
      <c r="B15" s="7">
        <f t="shared" si="0"/>
        <v>13</v>
      </c>
      <c r="C15" s="8" t="s">
        <v>26</v>
      </c>
      <c r="D15" s="7" t="s">
        <v>7</v>
      </c>
      <c r="E15" s="7" t="s">
        <v>8</v>
      </c>
      <c r="F15" s="7">
        <v>21</v>
      </c>
      <c r="G15" s="7">
        <v>1</v>
      </c>
      <c r="H15" s="7">
        <v>1</v>
      </c>
    </row>
    <row r="16" spans="2:8" x14ac:dyDescent="0.25">
      <c r="B16" s="7">
        <f t="shared" si="0"/>
        <v>14</v>
      </c>
      <c r="C16" s="8" t="s">
        <v>27</v>
      </c>
      <c r="D16" s="7" t="s">
        <v>7</v>
      </c>
      <c r="E16" s="7" t="s">
        <v>9</v>
      </c>
      <c r="F16" s="7">
        <v>13</v>
      </c>
      <c r="G16" s="7">
        <v>1</v>
      </c>
      <c r="H16" s="7">
        <v>2</v>
      </c>
    </row>
    <row r="17" spans="2:8" x14ac:dyDescent="0.25">
      <c r="B17" s="7">
        <f t="shared" si="0"/>
        <v>15</v>
      </c>
      <c r="C17" s="8" t="s">
        <v>28</v>
      </c>
      <c r="D17" s="7" t="s">
        <v>7</v>
      </c>
      <c r="E17" s="7" t="s">
        <v>9</v>
      </c>
      <c r="F17" s="7">
        <v>13</v>
      </c>
      <c r="G17" s="7">
        <v>1</v>
      </c>
      <c r="H17" s="7">
        <v>2</v>
      </c>
    </row>
    <row r="18" spans="2:8" x14ac:dyDescent="0.25">
      <c r="B18" s="7">
        <f t="shared" si="0"/>
        <v>16</v>
      </c>
      <c r="C18" s="8" t="s">
        <v>29</v>
      </c>
      <c r="D18" s="7" t="s">
        <v>15</v>
      </c>
      <c r="E18" s="7" t="s">
        <v>12</v>
      </c>
      <c r="F18" s="7">
        <v>8</v>
      </c>
      <c r="G18" s="7">
        <v>3</v>
      </c>
      <c r="H18" s="7">
        <v>2</v>
      </c>
    </row>
    <row r="19" spans="2:8" x14ac:dyDescent="0.25">
      <c r="B19" s="7">
        <f t="shared" si="0"/>
        <v>17</v>
      </c>
      <c r="C19" s="8" t="s">
        <v>30</v>
      </c>
      <c r="D19" s="7" t="s">
        <v>15</v>
      </c>
      <c r="E19" s="7" t="s">
        <v>9</v>
      </c>
      <c r="F19" s="7">
        <v>13</v>
      </c>
      <c r="G19" s="7">
        <v>3</v>
      </c>
      <c r="H19" s="7">
        <v>2</v>
      </c>
    </row>
    <row r="21" spans="2:8" x14ac:dyDescent="0.25">
      <c r="B21" s="12"/>
      <c r="C21" s="12" t="s">
        <v>31</v>
      </c>
      <c r="D21" s="10" t="s">
        <v>32</v>
      </c>
      <c r="E21" s="9" t="s">
        <v>33</v>
      </c>
      <c r="F21" s="11" t="s">
        <v>34</v>
      </c>
    </row>
    <row r="22" spans="2:8" x14ac:dyDescent="0.25">
      <c r="B22" s="12" t="s">
        <v>35</v>
      </c>
      <c r="C22" s="12">
        <f>SUM(C23,C24)</f>
        <v>203</v>
      </c>
      <c r="D22" s="10">
        <v>203</v>
      </c>
      <c r="E22" s="9">
        <f>SUM(E23,E24)</f>
        <v>66</v>
      </c>
      <c r="F22" s="11">
        <v>0</v>
      </c>
    </row>
    <row r="23" spans="2:8" x14ac:dyDescent="0.25">
      <c r="B23" s="12" t="s">
        <v>36</v>
      </c>
      <c r="C23" s="12">
        <f>SUM(F3:F15)</f>
        <v>156</v>
      </c>
      <c r="D23" s="10">
        <f>SUM(C23+F22)</f>
        <v>156</v>
      </c>
      <c r="E23" s="9">
        <v>19</v>
      </c>
      <c r="F23" s="11">
        <f>D23-E23</f>
        <v>137</v>
      </c>
    </row>
    <row r="24" spans="2:8" x14ac:dyDescent="0.25">
      <c r="B24" s="12" t="s">
        <v>37</v>
      </c>
      <c r="C24" s="12">
        <f>SUM(F16:F19)</f>
        <v>47</v>
      </c>
      <c r="D24" s="10">
        <f>SUM(C24+F23)</f>
        <v>184</v>
      </c>
      <c r="E24" s="9">
        <v>47</v>
      </c>
      <c r="F24" s="11">
        <v>0</v>
      </c>
    </row>
  </sheetData>
  <autoFilter ref="B2:H2" xr:uid="{00000000-0001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B774-1D3C-4434-B6C7-2A0EF3CA13FA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cp:lastModifiedBy>Matheus Strilicherk</cp:lastModifiedBy>
  <dcterms:created xsi:type="dcterms:W3CDTF">2015-06-05T18:17:20Z</dcterms:created>
  <dcterms:modified xsi:type="dcterms:W3CDTF">2025-11-14T02:22:58Z</dcterms:modified>
</cp:coreProperties>
</file>